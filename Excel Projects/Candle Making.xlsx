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5AB27C60-8B8F-4BEC-8A3F-87069E10BA74}" xr6:coauthVersionLast="47" xr6:coauthVersionMax="47" xr10:uidLastSave="{00000000-0000-0000-0000-000000000000}"/>
  <bookViews>
    <workbookView xWindow="0" yWindow="0" windowWidth="11520" windowHeight="12360" xr2:uid="{EB9295E0-2A09-4C6A-B14D-2AA5A95F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28" i="1"/>
  <c r="E16" i="1"/>
  <c r="C22" i="1"/>
  <c r="C25" i="1" s="1"/>
  <c r="E7" i="1"/>
  <c r="D7" i="1"/>
  <c r="C13" i="1"/>
  <c r="B19" i="1" l="1"/>
  <c r="D19" i="1" s="1"/>
  <c r="C31" i="1"/>
  <c r="D25" i="1"/>
  <c r="B25" i="1"/>
  <c r="D13" i="1"/>
  <c r="B34" i="1" l="1"/>
  <c r="B37" i="1" s="1"/>
  <c r="C52" i="1" l="1"/>
  <c r="C34" i="1"/>
  <c r="C37" i="1" s="1"/>
  <c r="C43" i="1" s="1"/>
  <c r="C50" i="1"/>
  <c r="B43" i="1"/>
  <c r="C51" i="1"/>
  <c r="C55" i="1"/>
  <c r="C53" i="1"/>
  <c r="C54" i="1"/>
  <c r="C49" i="1"/>
  <c r="C56" i="1" l="1"/>
</calcChain>
</file>

<file path=xl/sharedStrings.xml><?xml version="1.0" encoding="utf-8"?>
<sst xmlns="http://schemas.openxmlformats.org/spreadsheetml/2006/main" count="61" uniqueCount="59">
  <si>
    <t>Candle Volume (ml)</t>
  </si>
  <si>
    <t>Wax Density (g/cm^3)</t>
  </si>
  <si>
    <t>Total Candle Weight (g)</t>
  </si>
  <si>
    <t>Wax $/kg</t>
  </si>
  <si>
    <t>Additional Costs $/kg</t>
  </si>
  <si>
    <t>Candles produced</t>
  </si>
  <si>
    <t>Batch Quantity (g)</t>
  </si>
  <si>
    <t>Cost per Jar</t>
  </si>
  <si>
    <t>Cost per wick</t>
  </si>
  <si>
    <t>Wax $/g</t>
  </si>
  <si>
    <t>Additional Costs $/g</t>
  </si>
  <si>
    <t>Costs per Candle</t>
  </si>
  <si>
    <t>Wax Cost</t>
  </si>
  <si>
    <t>Baseline Candle Volume</t>
  </si>
  <si>
    <t>Total Cost per Candle</t>
  </si>
  <si>
    <t>Profits</t>
  </si>
  <si>
    <t>Sell Value per Candle</t>
  </si>
  <si>
    <t>Time Spent per Candle</t>
  </si>
  <si>
    <t>Baseline Time Per Batch (min)</t>
  </si>
  <si>
    <t>Assumed Wage ($/hour)</t>
  </si>
  <si>
    <t>Time Per Candle (s)</t>
  </si>
  <si>
    <t>Time Per Candle (min)</t>
  </si>
  <si>
    <t>Assumed Wage</t>
  </si>
  <si>
    <t>Working Costs</t>
  </si>
  <si>
    <t>Cost per Batch</t>
  </si>
  <si>
    <t>Assumed Wage ($/min)</t>
  </si>
  <si>
    <t xml:space="preserve">Work per Candle </t>
  </si>
  <si>
    <t>Cost per Delivery</t>
  </si>
  <si>
    <t xml:space="preserve">Sell Value Per Candle </t>
  </si>
  <si>
    <t>Per Batch</t>
  </si>
  <si>
    <t>Per Candle</t>
  </si>
  <si>
    <t>^Wowza!</t>
  </si>
  <si>
    <t>Pessimistic Estimates</t>
  </si>
  <si>
    <t>Pessimistic Profits</t>
  </si>
  <si>
    <t>Pessimistic factor (realized profitability percentage)</t>
  </si>
  <si>
    <t>Time Per Batch Delivery (min)</t>
  </si>
  <si>
    <t xml:space="preserve">Expenses Per Candle </t>
  </si>
  <si>
    <t>Expenses</t>
  </si>
  <si>
    <t>Expenses per Batch</t>
  </si>
  <si>
    <t xml:space="preserve">Material Cost per candle </t>
  </si>
  <si>
    <t>Expenses Chart</t>
  </si>
  <si>
    <t>Expense</t>
  </si>
  <si>
    <t>Percent of Total Expenses</t>
  </si>
  <si>
    <t>Material Cost</t>
  </si>
  <si>
    <t>Wick Costs</t>
  </si>
  <si>
    <t>Jar Costs</t>
  </si>
  <si>
    <t>Transportation Cost</t>
  </si>
  <si>
    <t>Pour Time Cost</t>
  </si>
  <si>
    <t>Total Time Spent Per Candle (minutes)</t>
  </si>
  <si>
    <t>Total Time Spent Per Candle (Seconds)</t>
  </si>
  <si>
    <t>Total Spent per Candle</t>
  </si>
  <si>
    <t>Time Spent Advertizing (hours/1000kg)</t>
  </si>
  <si>
    <t>Time Spent Advertizing (minutes/1000kg)</t>
  </si>
  <si>
    <t>Check for 100%</t>
  </si>
  <si>
    <t>Sell Value Per Batch</t>
  </si>
  <si>
    <t>Long Term Time Spent (Needs Work)</t>
  </si>
  <si>
    <t>Cost for essential oils per candle</t>
  </si>
  <si>
    <t>Essential Oil Cost</t>
  </si>
  <si>
    <t>Startup Time Cost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</si>
</sst>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1009]* #,##0.00_-;\-[$$-1009]* #,##0.00_-;_-[$$-1009]* &quot;-&quot;??_-;_-@_-"/>
    <numFmt numFmtId="165" formatCode="_-[$$-1009]* #,##0.000_-;\-[$$-1009]* #,##0.000_-;_-[$$-1009]* &quot;-&quot;??_-;_-@_-"/>
    <numFmt numFmtId="166" formatCode="_-&quot;$&quot;* #,##0.00000000_-;\-&quot;$&quot;* #,##0.000000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164" fontId="2" fillId="0" borderId="0" xfId="1" applyNumberFormat="1" applyFont="1" applyAlignment="1"/>
    <xf numFmtId="44" fontId="2" fillId="0" borderId="0" xfId="1" applyFont="1" applyAlignment="1"/>
    <xf numFmtId="165" fontId="1" fillId="0" borderId="0" xfId="1" applyNumberFormat="1" applyFont="1" applyAlignment="1"/>
    <xf numFmtId="2" fontId="0" fillId="0" borderId="0" xfId="0" applyNumberFormat="1"/>
    <xf numFmtId="164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166" fontId="0" fillId="0" borderId="0" xfId="0" applyNumberFormat="1"/>
    <xf numFmtId="44" fontId="0" fillId="0" borderId="0" xfId="1" applyFont="1" applyAlignment="1"/>
    <xf numFmtId="9" fontId="0" fillId="0" borderId="0" xfId="2" applyFont="1" applyAlignment="1"/>
    <xf numFmtId="10" fontId="0" fillId="0" borderId="0" xfId="2" applyNumberFormat="1" applyFont="1" applyAlignment="1"/>
    <xf numFmtId="164" fontId="0" fillId="0" borderId="0" xfId="1" applyNumberFormat="1" applyFont="1" applyAlignment="1"/>
    <xf numFmtId="44" fontId="0" fillId="0" borderId="0" xfId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1B74-05F3-4C81-9AAE-DC28854DCAE3}">
  <dimension ref="A1:E56"/>
  <sheetViews>
    <sheetView tabSelected="1" topLeftCell="A12" zoomScale="108" workbookViewId="0">
      <selection activeCell="B14" sqref="B14"/>
    </sheetView>
  </sheetViews>
  <sheetFormatPr defaultRowHeight="14.4" x14ac:dyDescent="0.55000000000000004"/>
  <cols>
    <col min="1" max="1" width="17.89453125" style="1" customWidth="1"/>
    <col min="2" max="2" width="24.05078125" customWidth="1"/>
    <col min="3" max="3" width="23.9453125" customWidth="1"/>
    <col min="4" max="4" width="20" customWidth="1"/>
    <col min="5" max="5" width="14.47265625" customWidth="1"/>
    <col min="6" max="6" width="18.7890625" customWidth="1"/>
    <col min="7" max="7" width="17.89453125" customWidth="1"/>
  </cols>
  <sheetData>
    <row r="1" spans="1:5" ht="14.4" customHeight="1" x14ac:dyDescent="0.55000000000000004"/>
    <row r="3" spans="1:5" ht="14.4" customHeight="1" x14ac:dyDescent="0.55000000000000004">
      <c r="A3" s="18" t="s">
        <v>13</v>
      </c>
      <c r="B3" t="s">
        <v>0</v>
      </c>
      <c r="C3" t="s">
        <v>1</v>
      </c>
      <c r="D3" t="s">
        <v>2</v>
      </c>
    </row>
    <row r="4" spans="1:5" x14ac:dyDescent="0.55000000000000004">
      <c r="A4" s="18"/>
      <c r="B4" s="3">
        <v>700</v>
      </c>
      <c r="C4">
        <v>0.9</v>
      </c>
      <c r="D4">
        <v>340</v>
      </c>
    </row>
    <row r="6" spans="1:5" x14ac:dyDescent="0.55000000000000004">
      <c r="A6" s="18" t="s">
        <v>12</v>
      </c>
      <c r="B6" t="s">
        <v>3</v>
      </c>
      <c r="C6" t="s">
        <v>4</v>
      </c>
      <c r="D6" t="s">
        <v>9</v>
      </c>
      <c r="E6" t="s">
        <v>10</v>
      </c>
    </row>
    <row r="7" spans="1:5" x14ac:dyDescent="0.55000000000000004">
      <c r="A7" s="18"/>
      <c r="B7" s="4">
        <v>2</v>
      </c>
      <c r="C7" s="5">
        <v>0</v>
      </c>
      <c r="D7" s="6">
        <f>B7/1000</f>
        <v>2E-3</v>
      </c>
      <c r="E7" s="6">
        <f>C7/1000</f>
        <v>0</v>
      </c>
    </row>
    <row r="8" spans="1:5" x14ac:dyDescent="0.55000000000000004">
      <c r="B8" s="3"/>
    </row>
    <row r="9" spans="1:5" ht="14.4" customHeight="1" x14ac:dyDescent="0.55000000000000004">
      <c r="A9" s="18" t="s">
        <v>11</v>
      </c>
      <c r="B9" t="s">
        <v>7</v>
      </c>
      <c r="C9" t="s">
        <v>8</v>
      </c>
      <c r="D9" t="s">
        <v>56</v>
      </c>
    </row>
    <row r="10" spans="1:5" x14ac:dyDescent="0.55000000000000004">
      <c r="A10" s="18"/>
      <c r="B10" s="5">
        <v>1</v>
      </c>
      <c r="C10" s="5">
        <f>18/100</f>
        <v>0.18</v>
      </c>
      <c r="D10" s="17">
        <v>0.1</v>
      </c>
      <c r="E10" s="14"/>
    </row>
    <row r="12" spans="1:5" ht="14.4" customHeight="1" x14ac:dyDescent="0.55000000000000004">
      <c r="A12" s="18" t="s">
        <v>14</v>
      </c>
      <c r="B12" t="s">
        <v>6</v>
      </c>
      <c r="C12" t="s">
        <v>5</v>
      </c>
      <c r="D12" t="s">
        <v>39</v>
      </c>
    </row>
    <row r="13" spans="1:5" x14ac:dyDescent="0.55000000000000004">
      <c r="A13" s="18"/>
      <c r="B13" s="3">
        <v>25000</v>
      </c>
      <c r="C13" s="7">
        <f>B13/D4</f>
        <v>73.529411764705884</v>
      </c>
      <c r="D13" s="8">
        <f>D4*(D7+E7) + B10 +C10</f>
        <v>1.86</v>
      </c>
      <c r="E13" s="14"/>
    </row>
    <row r="14" spans="1:5" x14ac:dyDescent="0.55000000000000004">
      <c r="E14" s="14"/>
    </row>
    <row r="15" spans="1:5" ht="14.4" customHeight="1" x14ac:dyDescent="0.55000000000000004">
      <c r="A15" s="18" t="s">
        <v>17</v>
      </c>
      <c r="B15" s="2" t="s">
        <v>18</v>
      </c>
      <c r="C15" t="s">
        <v>35</v>
      </c>
      <c r="D15" s="2" t="s">
        <v>20</v>
      </c>
      <c r="E15" t="s">
        <v>21</v>
      </c>
    </row>
    <row r="16" spans="1:5" x14ac:dyDescent="0.55000000000000004">
      <c r="A16" s="18"/>
      <c r="B16" s="2">
        <v>120</v>
      </c>
      <c r="C16">
        <v>30</v>
      </c>
      <c r="D16">
        <v>60</v>
      </c>
      <c r="E16">
        <f>D16/60</f>
        <v>1</v>
      </c>
    </row>
    <row r="18" spans="1:4" ht="14.4" customHeight="1" x14ac:dyDescent="0.55000000000000004">
      <c r="A18" s="18" t="s">
        <v>50</v>
      </c>
      <c r="B18" t="s">
        <v>48</v>
      </c>
      <c r="D18" t="s">
        <v>49</v>
      </c>
    </row>
    <row r="19" spans="1:4" x14ac:dyDescent="0.55000000000000004">
      <c r="A19" s="18"/>
      <c r="B19" s="7">
        <f>((B16+C16) / C13) + E16</f>
        <v>3.04</v>
      </c>
      <c r="D19" s="7">
        <f>B19*60</f>
        <v>182.4</v>
      </c>
    </row>
    <row r="21" spans="1:4" ht="14.4" customHeight="1" x14ac:dyDescent="0.55000000000000004">
      <c r="A21" s="18" t="s">
        <v>22</v>
      </c>
      <c r="B21" s="2" t="s">
        <v>19</v>
      </c>
      <c r="C21" s="2" t="s">
        <v>25</v>
      </c>
    </row>
    <row r="22" spans="1:4" x14ac:dyDescent="0.55000000000000004">
      <c r="A22" s="18"/>
      <c r="B22" s="9">
        <v>0</v>
      </c>
      <c r="C22" s="9">
        <f>B22/60</f>
        <v>0</v>
      </c>
    </row>
    <row r="24" spans="1:4" x14ac:dyDescent="0.55000000000000004">
      <c r="A24" s="18" t="s">
        <v>23</v>
      </c>
      <c r="B24" s="2" t="s">
        <v>24</v>
      </c>
      <c r="C24" t="s">
        <v>27</v>
      </c>
      <c r="D24" t="s">
        <v>26</v>
      </c>
    </row>
    <row r="25" spans="1:4" x14ac:dyDescent="0.55000000000000004">
      <c r="A25" s="18"/>
      <c r="B25" s="10">
        <f>B16*C22</f>
        <v>0</v>
      </c>
      <c r="C25" s="11">
        <f>C22*C16</f>
        <v>0</v>
      </c>
      <c r="D25" s="12">
        <f>C22*E16</f>
        <v>0</v>
      </c>
    </row>
    <row r="27" spans="1:4" x14ac:dyDescent="0.55000000000000004">
      <c r="A27" s="18" t="s">
        <v>55</v>
      </c>
      <c r="B27" t="s">
        <v>51</v>
      </c>
      <c r="D27" t="s">
        <v>52</v>
      </c>
    </row>
    <row r="28" spans="1:4" x14ac:dyDescent="0.55000000000000004">
      <c r="A28" s="18"/>
      <c r="B28">
        <v>10</v>
      </c>
      <c r="D28">
        <f>B28*60</f>
        <v>600</v>
      </c>
    </row>
    <row r="30" spans="1:4" ht="14.4" customHeight="1" x14ac:dyDescent="0.55000000000000004">
      <c r="A30" s="18" t="s">
        <v>16</v>
      </c>
      <c r="B30" t="s">
        <v>28</v>
      </c>
      <c r="C30" t="s">
        <v>54</v>
      </c>
    </row>
    <row r="31" spans="1:4" x14ac:dyDescent="0.55000000000000004">
      <c r="A31" s="18"/>
      <c r="B31" s="13">
        <v>10</v>
      </c>
      <c r="C31" s="11">
        <f>B31*C13</f>
        <v>735.29411764705878</v>
      </c>
    </row>
    <row r="33" spans="1:3" x14ac:dyDescent="0.55000000000000004">
      <c r="A33" s="18" t="s">
        <v>37</v>
      </c>
      <c r="B33" t="s">
        <v>36</v>
      </c>
      <c r="C33" t="s">
        <v>38</v>
      </c>
    </row>
    <row r="34" spans="1:3" x14ac:dyDescent="0.55000000000000004">
      <c r="A34" s="18"/>
      <c r="B34" s="16">
        <f>D13 +B10 + C10 +D10 +(B25 / C13) + (C25 / C13) +D25</f>
        <v>3.1400000000000006</v>
      </c>
      <c r="C34" s="11">
        <f>B34*C13</f>
        <v>230.88235294117652</v>
      </c>
    </row>
    <row r="36" spans="1:3" x14ac:dyDescent="0.55000000000000004">
      <c r="A36" s="18" t="s">
        <v>15</v>
      </c>
      <c r="B36" t="s">
        <v>30</v>
      </c>
      <c r="C36" t="s">
        <v>29</v>
      </c>
    </row>
    <row r="37" spans="1:3" x14ac:dyDescent="0.55000000000000004">
      <c r="A37" s="18"/>
      <c r="B37" s="11">
        <f>B31-B34</f>
        <v>6.8599999999999994</v>
      </c>
      <c r="C37" s="11">
        <f>(C13*B31) - C34</f>
        <v>504.41176470588226</v>
      </c>
    </row>
    <row r="38" spans="1:3" x14ac:dyDescent="0.55000000000000004">
      <c r="B38" s="20" t="s">
        <v>31</v>
      </c>
      <c r="C38" s="20"/>
    </row>
    <row r="39" spans="1:3" x14ac:dyDescent="0.55000000000000004">
      <c r="A39" s="18" t="s">
        <v>32</v>
      </c>
      <c r="B39" t="s">
        <v>34</v>
      </c>
    </row>
    <row r="40" spans="1:3" x14ac:dyDescent="0.55000000000000004">
      <c r="A40" s="18"/>
      <c r="B40" s="14">
        <v>0.5</v>
      </c>
    </row>
    <row r="42" spans="1:3" x14ac:dyDescent="0.55000000000000004">
      <c r="A42" s="18" t="s">
        <v>33</v>
      </c>
      <c r="B42" t="s">
        <v>30</v>
      </c>
      <c r="C42" t="s">
        <v>29</v>
      </c>
    </row>
    <row r="43" spans="1:3" x14ac:dyDescent="0.55000000000000004">
      <c r="A43" s="18"/>
      <c r="B43" s="11">
        <f>B37*B40</f>
        <v>3.4299999999999997</v>
      </c>
      <c r="C43" s="11">
        <f>C37*B40</f>
        <v>252.20588235294113</v>
      </c>
    </row>
    <row r="47" spans="1:3" x14ac:dyDescent="0.55000000000000004">
      <c r="B47" s="19" t="s">
        <v>40</v>
      </c>
      <c r="C47" s="19"/>
    </row>
    <row r="48" spans="1:3" x14ac:dyDescent="0.55000000000000004">
      <c r="B48" s="1" t="s">
        <v>41</v>
      </c>
      <c r="C48" t="s">
        <v>42</v>
      </c>
    </row>
    <row r="49" spans="2:3" x14ac:dyDescent="0.55000000000000004">
      <c r="B49" t="s">
        <v>43</v>
      </c>
      <c r="C49" s="14">
        <f>D13/$B$34</f>
        <v>0.59235668789808904</v>
      </c>
    </row>
    <row r="50" spans="2:3" x14ac:dyDescent="0.55000000000000004">
      <c r="B50" t="s">
        <v>45</v>
      </c>
      <c r="C50" s="14">
        <f>B10/$B$34</f>
        <v>0.31847133757961776</v>
      </c>
    </row>
    <row r="51" spans="2:3" x14ac:dyDescent="0.55000000000000004">
      <c r="B51" t="s">
        <v>44</v>
      </c>
      <c r="C51" s="14">
        <f>C10/$B$34</f>
        <v>5.7324840764331197E-2</v>
      </c>
    </row>
    <row r="52" spans="2:3" x14ac:dyDescent="0.55000000000000004">
      <c r="B52" t="s">
        <v>57</v>
      </c>
      <c r="C52" s="14">
        <f>D10/$B$34</f>
        <v>3.1847133757961776E-2</v>
      </c>
    </row>
    <row r="53" spans="2:3" x14ac:dyDescent="0.55000000000000004">
      <c r="B53" t="s">
        <v>58</v>
      </c>
      <c r="C53" s="14">
        <f>(B25/$C$13)/$B$34</f>
        <v>0</v>
      </c>
    </row>
    <row r="54" spans="2:3" x14ac:dyDescent="0.55000000000000004">
      <c r="B54" t="s">
        <v>47</v>
      </c>
      <c r="C54" s="15">
        <f>D25/$B$34</f>
        <v>0</v>
      </c>
    </row>
    <row r="55" spans="2:3" x14ac:dyDescent="0.55000000000000004">
      <c r="B55" t="s">
        <v>46</v>
      </c>
      <c r="C55" s="14">
        <f>(C25/$C$13)/$B$34</f>
        <v>0</v>
      </c>
    </row>
    <row r="56" spans="2:3" x14ac:dyDescent="0.55000000000000004">
      <c r="B56" t="s">
        <v>53</v>
      </c>
      <c r="C56" s="14">
        <f>SUM(C49:C55)</f>
        <v>0.99999999999999978</v>
      </c>
    </row>
  </sheetData>
  <mergeCells count="16">
    <mergeCell ref="B47:C47"/>
    <mergeCell ref="A18:A19"/>
    <mergeCell ref="A36:A37"/>
    <mergeCell ref="A15:A16"/>
    <mergeCell ref="A24:A25"/>
    <mergeCell ref="B38:C38"/>
    <mergeCell ref="A39:A40"/>
    <mergeCell ref="A42:A43"/>
    <mergeCell ref="A33:A34"/>
    <mergeCell ref="A27:A28"/>
    <mergeCell ref="A30:A31"/>
    <mergeCell ref="A3:A4"/>
    <mergeCell ref="A6:A7"/>
    <mergeCell ref="A9:A10"/>
    <mergeCell ref="A12:A13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2025-08-09T00:03:12Z</dcterms:created>
  <dcterms:modified xsi:type="dcterms:W3CDTF">2026-05-12T04:18:40Z</dcterms:modified>
</cp:coreProperties>
</file>